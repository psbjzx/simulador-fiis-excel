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1708f0581af9c/Área de Trabalho/"/>
    </mc:Choice>
  </mc:AlternateContent>
  <xr:revisionPtr revIDLastSave="231" documentId="8_{981B0A45-E4F4-46A9-A5D4-2741A2A17850}" xr6:coauthVersionLast="47" xr6:coauthVersionMax="47" xr10:uidLastSave="{BCB7C03C-1AD1-417F-9D1A-01AA3209F100}"/>
  <bookViews>
    <workbookView xWindow="-108" yWindow="-108" windowWidth="23256" windowHeight="12456" xr2:uid="{729F1434-2036-4A9B-B87B-475A41AD87C0}"/>
  </bookViews>
  <sheets>
    <sheet name="Planilha1" sheetId="1" r:id="rId1"/>
    <sheet name="Planilha2" sheetId="2" r:id="rId2"/>
  </sheets>
  <definedNames>
    <definedName name="aporte">Planilha1!$B$26</definedName>
    <definedName name="dividendos_mensais">Planilha1!$B$32</definedName>
    <definedName name="ganho_acumulado">Planilha1!$B$31</definedName>
    <definedName name="patrimonio_acumulado">Planilha1!$B$30</definedName>
    <definedName name="patrimonio_investido">Planilha1!$B$29</definedName>
    <definedName name="rendimento_carteira">Planilha1!$B$22</definedName>
    <definedName name="salario">Planilha1!$B$21</definedName>
    <definedName name="sugestao_investimento">Planilha1!$B$23</definedName>
    <definedName name="taxa_mensal">Planilha1!$B$28</definedName>
    <definedName name="tempo">Planilha1!$B$27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3" i="1"/>
  <c r="B36" i="1"/>
  <c r="B37" i="1"/>
  <c r="B38" i="1"/>
  <c r="B39" i="1"/>
  <c r="B40" i="1"/>
  <c r="B47" i="1"/>
  <c r="B48" i="1"/>
  <c r="B46" i="1"/>
  <c r="B43" i="1"/>
  <c r="C48" i="1" s="1"/>
  <c r="A7" i="2"/>
  <c r="A3" i="2"/>
  <c r="A4" i="2"/>
  <c r="A5" i="2"/>
  <c r="A6" i="2"/>
  <c r="A8" i="2"/>
  <c r="A9" i="2"/>
  <c r="A10" i="2"/>
  <c r="A2" i="2"/>
  <c r="C46" i="1" l="1"/>
  <c r="C47" i="1"/>
  <c r="B49" i="1"/>
  <c r="C49" i="1" l="1"/>
  <c r="C40" i="1"/>
  <c r="C39" i="1"/>
  <c r="C38" i="1"/>
  <c r="C37" i="1"/>
  <c r="C36" i="1"/>
</calcChain>
</file>

<file path=xl/sharedStrings.xml><?xml version="1.0" encoding="utf-8"?>
<sst xmlns="http://schemas.openxmlformats.org/spreadsheetml/2006/main" count="53" uniqueCount="36">
  <si>
    <t>INVESTIMENTO</t>
  </si>
  <si>
    <t>Patrimônio acumulado</t>
  </si>
  <si>
    <t>Dividendos por mês</t>
  </si>
  <si>
    <t>Investimento mensal</t>
  </si>
  <si>
    <t>Quantidade (anos)</t>
  </si>
  <si>
    <t>Taxa de rendimento mensal</t>
  </si>
  <si>
    <t>Patrimônio Investido</t>
  </si>
  <si>
    <t>Capital recebido</t>
  </si>
  <si>
    <t>Rendimento</t>
  </si>
  <si>
    <t>Investimento mensal (Sugestão) -&gt; 30%</t>
  </si>
  <si>
    <t>CONFIGURAÇÕES</t>
  </si>
  <si>
    <t>CENÁRIOS</t>
  </si>
  <si>
    <t>2 anos</t>
  </si>
  <si>
    <t>5 anos</t>
  </si>
  <si>
    <t>10 anos</t>
  </si>
  <si>
    <t>20 anos</t>
  </si>
  <si>
    <t>30 anos</t>
  </si>
  <si>
    <t>Anos</t>
  </si>
  <si>
    <t>Patrimônio Acumulado</t>
  </si>
  <si>
    <t>Dividendos</t>
  </si>
  <si>
    <t>CHAVE</t>
  </si>
  <si>
    <t>PERFIL</t>
  </si>
  <si>
    <t>TIPO DE FII</t>
  </si>
  <si>
    <t>%</t>
  </si>
  <si>
    <t>Conservador</t>
  </si>
  <si>
    <t>PAPEL</t>
  </si>
  <si>
    <t>TIJOLO</t>
  </si>
  <si>
    <t>Moderado</t>
  </si>
  <si>
    <t>Agressivo</t>
  </si>
  <si>
    <t>HÍBRIDO</t>
  </si>
  <si>
    <t>PERFIL DE INVESTIDOR</t>
  </si>
  <si>
    <t>Valor de Investimento Mensal</t>
  </si>
  <si>
    <t>PERCENTUAL SUGERIDO</t>
  </si>
  <si>
    <t>Valor (R$)</t>
  </si>
  <si>
    <t>TOTAL</t>
  </si>
  <si>
    <t>Salário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</si>
</sst>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23282C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  <font>
      <b/>
      <sz val="11"/>
      <color theme="1"/>
      <name val="Arial"/>
      <family val="2"/>
    </font>
    <font>
      <sz val="11"/>
      <color theme="2" tint="-0.249977111117893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/>
    <xf numFmtId="0" fontId="4" fillId="0" borderId="6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8" xfId="1" applyFont="1" applyBorder="1" applyAlignment="1">
      <alignment horizontal="center" vertical="center"/>
    </xf>
    <xf numFmtId="0" fontId="4" fillId="0" borderId="6" xfId="0" applyFont="1" applyBorder="1"/>
    <xf numFmtId="0" fontId="2" fillId="4" borderId="0" xfId="0" applyFont="1" applyFill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0" fontId="4" fillId="0" borderId="1" xfId="1" applyNumberFormat="1" applyFont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/>
    <xf numFmtId="8" fontId="4" fillId="0" borderId="0" xfId="0" applyNumberFormat="1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8" fillId="0" borderId="0" xfId="0" applyFont="1"/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/>
    </xf>
    <xf numFmtId="0" fontId="9" fillId="0" borderId="0" xfId="0" applyFont="1"/>
    <xf numFmtId="0" fontId="10" fillId="5" borderId="0" xfId="0" applyFont="1" applyFill="1"/>
    <xf numFmtId="0" fontId="6" fillId="0" borderId="0" xfId="0" applyFont="1"/>
    <xf numFmtId="0" fontId="10" fillId="0" borderId="0" xfId="0" applyFont="1"/>
    <xf numFmtId="9" fontId="10" fillId="5" borderId="0" xfId="1" applyFont="1" applyFill="1"/>
    <xf numFmtId="9" fontId="4" fillId="0" borderId="0" xfId="1" applyFont="1"/>
    <xf numFmtId="8" fontId="10" fillId="5" borderId="0" xfId="0" applyNumberFormat="1" applyFont="1" applyFill="1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Planilha1!$B$45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46-4AF5-942F-E583F73624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AA-44B7-A819-41B167435B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46-4AF5-942F-E583F736241F}"/>
              </c:ext>
            </c:extLst>
          </c:dPt>
          <c:dLbls>
            <c:spPr>
              <a:solidFill>
                <a:schemeClr val="tx1">
                  <a:alpha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Planilha1!$A$46:$A$48</c:f>
              <c:strCache>
                <c:ptCount val="3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</c:strCache>
            </c:strRef>
          </c:cat>
          <c:val>
            <c:numRef>
              <c:f>Planilha1!$B$46:$B$48</c:f>
              <c:numCache>
                <c:formatCode>0%</c:formatCode>
                <c:ptCount val="3"/>
                <c:pt idx="0">
                  <c:v>0.5</c:v>
                </c:pt>
                <c:pt idx="1">
                  <c:v>0.35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A-44B7-A819-41B167435B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952500</xdr:colOff>
      <xdr:row>18</xdr:row>
      <xdr:rowOff>35087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7882DAD-AE5A-C92E-4FB1-52005413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15000" cy="3189767"/>
        </a:xfrm>
        <a:prstGeom prst="rect">
          <a:avLst/>
        </a:prstGeom>
      </xdr:spPr>
    </xdr:pic>
    <xdr:clientData/>
  </xdr:twoCellAnchor>
  <xdr:twoCellAnchor>
    <xdr:from>
      <xdr:col>0</xdr:col>
      <xdr:colOff>1882140</xdr:colOff>
      <xdr:row>48</xdr:row>
      <xdr:rowOff>163830</xdr:rowOff>
    </xdr:from>
    <xdr:to>
      <xdr:col>2</xdr:col>
      <xdr:colOff>693420</xdr:colOff>
      <xdr:row>61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E9D0DB-301A-917A-7856-DD168237B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BC1A-DBC6-4480-A189-1D9D7EE74B97}">
  <dimension ref="A1:E50"/>
  <sheetViews>
    <sheetView showGridLines="0" tabSelected="1" topLeftCell="A9" workbookViewId="0">
      <selection activeCell="C49" sqref="C49"/>
    </sheetView>
  </sheetViews>
  <sheetFormatPr defaultColWidth="0" defaultRowHeight="13.8" x14ac:dyDescent="0.25"/>
  <cols>
    <col min="1" max="1" width="40.5546875" style="5" customWidth="1"/>
    <col min="2" max="2" width="28.88671875" style="5" customWidth="1"/>
    <col min="3" max="3" width="33.109375" style="5" bestFit="1" customWidth="1"/>
    <col min="4" max="5" width="8.88671875" style="5" customWidth="1"/>
    <col min="6" max="16384" width="8.88671875" style="5" hidden="1"/>
  </cols>
  <sheetData>
    <row r="1" s="5" customFormat="1" x14ac:dyDescent="0.25"/>
    <row r="2" s="5" customFormat="1" x14ac:dyDescent="0.25"/>
    <row r="3" s="5" customFormat="1" x14ac:dyDescent="0.25"/>
    <row r="4" s="5" customFormat="1" x14ac:dyDescent="0.25"/>
    <row r="5" s="5" customFormat="1" x14ac:dyDescent="0.25"/>
    <row r="6" s="5" customFormat="1" x14ac:dyDescent="0.25"/>
    <row r="7" s="5" customFormat="1" x14ac:dyDescent="0.25"/>
    <row r="8" s="5" customFormat="1" x14ac:dyDescent="0.25"/>
    <row r="9" s="5" customFormat="1" x14ac:dyDescent="0.25"/>
    <row r="10" s="5" customFormat="1" x14ac:dyDescent="0.25"/>
    <row r="11" s="5" customFormat="1" x14ac:dyDescent="0.25"/>
    <row r="12" s="5" customFormat="1" x14ac:dyDescent="0.25"/>
    <row r="13" s="5" customFormat="1" x14ac:dyDescent="0.25"/>
    <row r="14" s="5" customFormat="1" x14ac:dyDescent="0.25"/>
    <row r="15" s="5" customFormat="1" x14ac:dyDescent="0.25"/>
    <row r="16" s="5" customFormat="1" x14ac:dyDescent="0.25"/>
    <row r="20" spans="1:2" s="30" customFormat="1" ht="30" x14ac:dyDescent="0.25">
      <c r="A20" s="40" t="s">
        <v>10</v>
      </c>
      <c r="B20" s="41"/>
    </row>
    <row r="21" spans="1:2" ht="15" x14ac:dyDescent="0.25">
      <c r="A21" s="1" t="s">
        <v>35</v>
      </c>
      <c r="B21" s="21">
        <v>2000</v>
      </c>
    </row>
    <row r="22" spans="1:2" ht="15" x14ac:dyDescent="0.25">
      <c r="A22" s="1" t="s">
        <v>8</v>
      </c>
      <c r="B22" s="24">
        <v>7.0000000000000001E-3</v>
      </c>
    </row>
    <row r="23" spans="1:2" ht="30" x14ac:dyDescent="0.25">
      <c r="A23" s="1" t="s">
        <v>9</v>
      </c>
      <c r="B23" s="23">
        <f>salario*0.3</f>
        <v>600</v>
      </c>
    </row>
    <row r="25" spans="1:2" s="30" customFormat="1" ht="30" x14ac:dyDescent="0.25">
      <c r="A25" s="40" t="s">
        <v>0</v>
      </c>
      <c r="B25" s="41"/>
    </row>
    <row r="26" spans="1:2" ht="15" x14ac:dyDescent="0.25">
      <c r="A26" s="1" t="s">
        <v>3</v>
      </c>
      <c r="B26" s="21">
        <v>300</v>
      </c>
    </row>
    <row r="27" spans="1:2" ht="15" x14ac:dyDescent="0.25">
      <c r="A27" s="1" t="s">
        <v>4</v>
      </c>
      <c r="B27" s="22">
        <v>5</v>
      </c>
    </row>
    <row r="28" spans="1:2" ht="15" x14ac:dyDescent="0.25">
      <c r="A28" s="1" t="s">
        <v>5</v>
      </c>
      <c r="B28" s="24">
        <v>1.0789999999999999E-2</v>
      </c>
    </row>
    <row r="29" spans="1:2" ht="15" x14ac:dyDescent="0.25">
      <c r="A29" s="2" t="s">
        <v>6</v>
      </c>
      <c r="B29" s="25">
        <f>aporte*(tempo*12)</f>
        <v>18000</v>
      </c>
    </row>
    <row r="30" spans="1:2" ht="15" x14ac:dyDescent="0.25">
      <c r="A30" s="2" t="s">
        <v>1</v>
      </c>
      <c r="B30" s="25">
        <f>FV(taxa_mensal,(tempo*12),aporte)*-1</f>
        <v>25133.074199546292</v>
      </c>
    </row>
    <row r="31" spans="1:2" ht="15" x14ac:dyDescent="0.25">
      <c r="A31" s="2" t="s">
        <v>7</v>
      </c>
      <c r="B31" s="25">
        <f>patrimonio_acumulado-patrimonio_investido</f>
        <v>7133.0741995462922</v>
      </c>
    </row>
    <row r="32" spans="1:2" ht="15" x14ac:dyDescent="0.25">
      <c r="A32" s="2" t="s">
        <v>2</v>
      </c>
      <c r="B32" s="25">
        <f>patrimonio_acumulado*rendimento_carteira</f>
        <v>175.93151939682406</v>
      </c>
    </row>
    <row r="34" spans="1:3" s="30" customFormat="1" ht="30" x14ac:dyDescent="0.25">
      <c r="A34" s="42" t="s">
        <v>11</v>
      </c>
      <c r="B34" s="43"/>
      <c r="C34" s="43"/>
    </row>
    <row r="35" spans="1:3" ht="15" x14ac:dyDescent="0.25">
      <c r="A35" s="3" t="s">
        <v>17</v>
      </c>
      <c r="B35" s="3" t="s">
        <v>18</v>
      </c>
      <c r="C35" s="3" t="s">
        <v>19</v>
      </c>
    </row>
    <row r="36" spans="1:3" ht="15" x14ac:dyDescent="0.25">
      <c r="A36" s="1" t="s">
        <v>12</v>
      </c>
      <c r="B36" s="4">
        <f>FV($B$28,(2*12),$B$26)*-1</f>
        <v>8168.2881892935648</v>
      </c>
      <c r="C36" s="4">
        <f>B36*$B$28</f>
        <v>88.135829562477554</v>
      </c>
    </row>
    <row r="37" spans="1:3" ht="15" x14ac:dyDescent="0.25">
      <c r="A37" s="1" t="s">
        <v>13</v>
      </c>
      <c r="B37" s="4">
        <f>FV($B$28,(5*12),$B$26)*-1</f>
        <v>25133.074199546292</v>
      </c>
      <c r="C37" s="4">
        <f t="shared" ref="C37:C40" si="0">B37*$B$28</f>
        <v>271.1858706131045</v>
      </c>
    </row>
    <row r="38" spans="1:3" ht="15" x14ac:dyDescent="0.25">
      <c r="A38" s="1" t="s">
        <v>14</v>
      </c>
      <c r="B38" s="4">
        <f>FV($B$28,(10*12),$B$26)*-1</f>
        <v>72985.263759051653</v>
      </c>
      <c r="C38" s="4">
        <f t="shared" si="0"/>
        <v>787.51099596016729</v>
      </c>
    </row>
    <row r="39" spans="1:3" ht="15" x14ac:dyDescent="0.25">
      <c r="A39" s="1" t="s">
        <v>15</v>
      </c>
      <c r="B39" s="4">
        <f>FV($B$28,(20*12),$B$26)*-1</f>
        <v>337559.52002912416</v>
      </c>
      <c r="C39" s="4">
        <f t="shared" si="0"/>
        <v>3642.2672211142494</v>
      </c>
    </row>
    <row r="40" spans="1:3" ht="15" x14ac:dyDescent="0.25">
      <c r="A40" s="1" t="s">
        <v>16</v>
      </c>
      <c r="B40" s="4">
        <f>FV($B$28,(30*12),$B$26)*-1</f>
        <v>1296650.8965014142</v>
      </c>
      <c r="C40" s="4">
        <f t="shared" si="0"/>
        <v>13990.863173250258</v>
      </c>
    </row>
    <row r="42" spans="1:3" s="30" customFormat="1" ht="15.6" x14ac:dyDescent="0.3">
      <c r="A42" s="31" t="s">
        <v>30</v>
      </c>
      <c r="B42" s="32" t="s">
        <v>28</v>
      </c>
    </row>
    <row r="43" spans="1:3" ht="15" x14ac:dyDescent="0.25">
      <c r="A43" s="18" t="s">
        <v>31</v>
      </c>
      <c r="B43" s="26">
        <f>aporte</f>
        <v>300</v>
      </c>
    </row>
    <row r="44" spans="1:3" x14ac:dyDescent="0.25">
      <c r="A44" s="6"/>
      <c r="B44" s="6"/>
    </row>
    <row r="45" spans="1:3" s="35" customFormat="1" ht="15.6" x14ac:dyDescent="0.3">
      <c r="A45" s="29" t="s">
        <v>22</v>
      </c>
      <c r="B45" s="29" t="s">
        <v>32</v>
      </c>
      <c r="C45" s="29" t="s">
        <v>33</v>
      </c>
    </row>
    <row r="46" spans="1:3" ht="15" x14ac:dyDescent="0.25">
      <c r="A46" s="28" t="s">
        <v>25</v>
      </c>
      <c r="B46" s="38">
        <f>VLOOKUP($B$42&amp;" - "&amp;A46,Planilha2!$A$1:$D$10,4,FALSE)</f>
        <v>0.5</v>
      </c>
      <c r="C46" s="27">
        <f>B46*$B$43</f>
        <v>150</v>
      </c>
    </row>
    <row r="47" spans="1:3" ht="15" x14ac:dyDescent="0.25">
      <c r="A47" s="28" t="s">
        <v>26</v>
      </c>
      <c r="B47" s="38">
        <f>VLOOKUP($B$42&amp;" - "&amp;A47,Planilha2!$A$1:$D$10,4,FALSE)</f>
        <v>0.35</v>
      </c>
      <c r="C47" s="27">
        <f t="shared" ref="C47" si="1">B47*$B$43</f>
        <v>105</v>
      </c>
    </row>
    <row r="48" spans="1:3" ht="15" x14ac:dyDescent="0.25">
      <c r="A48" s="28" t="s">
        <v>29</v>
      </c>
      <c r="B48" s="38">
        <f>VLOOKUP($B$42&amp;" - "&amp;A48,Planilha2!$A$1:$D$10,4,FALSE)</f>
        <v>0.15</v>
      </c>
      <c r="C48" s="27">
        <f>B48*$B$43</f>
        <v>45</v>
      </c>
    </row>
    <row r="49" spans="1:3" s="36" customFormat="1" x14ac:dyDescent="0.25">
      <c r="A49" s="34" t="s">
        <v>34</v>
      </c>
      <c r="B49" s="37">
        <f>SUM(B46:B48)</f>
        <v>1</v>
      </c>
      <c r="C49" s="39">
        <f>SUM(C46:C48)</f>
        <v>300</v>
      </c>
    </row>
    <row r="50" spans="1:3" x14ac:dyDescent="0.25">
      <c r="A50" s="33"/>
    </row>
  </sheetData>
  <mergeCells count="3">
    <mergeCell ref="A25:B25"/>
    <mergeCell ref="A20:B20"/>
    <mergeCell ref="A34:C34"/>
  </mergeCells>
  <dataValidations disablePrompts="1" count="1">
    <dataValidation type="list" allowBlank="1" showInputMessage="1" showErrorMessage="1" sqref="B42" xr:uid="{6ECBDCC5-7DDC-429C-9732-052A34ADA68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6211-45C3-472C-989F-A2F4E07DCFAA}">
  <dimension ref="A1:D13"/>
  <sheetViews>
    <sheetView workbookViewId="0">
      <selection activeCell="B19" sqref="B19"/>
    </sheetView>
  </sheetViews>
  <sheetFormatPr defaultRowHeight="13.8" x14ac:dyDescent="0.25"/>
  <cols>
    <col min="1" max="1" width="28.77734375" style="5" bestFit="1" customWidth="1"/>
    <col min="2" max="2" width="14.77734375" style="5" customWidth="1"/>
    <col min="3" max="3" width="17.6640625" style="5" bestFit="1" customWidth="1"/>
    <col min="4" max="4" width="8" style="5" customWidth="1"/>
    <col min="5" max="16384" width="8.88671875" style="5"/>
  </cols>
  <sheetData>
    <row r="1" spans="1:4" x14ac:dyDescent="0.25">
      <c r="A1" s="11" t="s">
        <v>20</v>
      </c>
      <c r="B1" s="12" t="s">
        <v>21</v>
      </c>
      <c r="C1" s="12" t="s">
        <v>22</v>
      </c>
      <c r="D1" s="13" t="s">
        <v>23</v>
      </c>
    </row>
    <row r="2" spans="1:4" x14ac:dyDescent="0.25">
      <c r="A2" s="9" t="str">
        <f>B2&amp;" - "&amp;C2</f>
        <v>Conservador - PAPEL</v>
      </c>
      <c r="B2" s="19" t="s">
        <v>24</v>
      </c>
      <c r="C2" s="6" t="s">
        <v>25</v>
      </c>
      <c r="D2" s="14">
        <v>0.3</v>
      </c>
    </row>
    <row r="3" spans="1:4" x14ac:dyDescent="0.25">
      <c r="A3" s="9" t="str">
        <f t="shared" ref="A3:A10" si="0">B3&amp;" - "&amp;C3</f>
        <v>Conservador - TIJOLO</v>
      </c>
      <c r="B3" s="19" t="s">
        <v>24</v>
      </c>
      <c r="C3" s="6" t="s">
        <v>26</v>
      </c>
      <c r="D3" s="14">
        <v>0.5</v>
      </c>
    </row>
    <row r="4" spans="1:4" ht="14.4" thickBot="1" x14ac:dyDescent="0.3">
      <c r="A4" s="10" t="str">
        <f t="shared" si="0"/>
        <v>Conservador - HÍBRIDO</v>
      </c>
      <c r="B4" s="20" t="s">
        <v>24</v>
      </c>
      <c r="C4" s="8" t="s">
        <v>29</v>
      </c>
      <c r="D4" s="15">
        <v>0.2</v>
      </c>
    </row>
    <row r="5" spans="1:4" x14ac:dyDescent="0.25">
      <c r="A5" s="9" t="str">
        <f t="shared" si="0"/>
        <v>Moderado - PAPEL</v>
      </c>
      <c r="B5" s="19" t="s">
        <v>27</v>
      </c>
      <c r="C5" s="6" t="s">
        <v>25</v>
      </c>
      <c r="D5" s="14">
        <v>0.32</v>
      </c>
    </row>
    <row r="6" spans="1:4" x14ac:dyDescent="0.25">
      <c r="A6" s="9" t="str">
        <f t="shared" si="0"/>
        <v>Moderado - TIJOLO</v>
      </c>
      <c r="B6" s="19" t="s">
        <v>27</v>
      </c>
      <c r="C6" s="6" t="s">
        <v>26</v>
      </c>
      <c r="D6" s="14">
        <v>0.35</v>
      </c>
    </row>
    <row r="7" spans="1:4" ht="14.4" thickBot="1" x14ac:dyDescent="0.3">
      <c r="A7" s="10" t="str">
        <f t="shared" si="0"/>
        <v>Moderado - HÍBRIDO</v>
      </c>
      <c r="B7" s="20" t="s">
        <v>27</v>
      </c>
      <c r="C7" s="8" t="s">
        <v>29</v>
      </c>
      <c r="D7" s="16">
        <v>0.33</v>
      </c>
    </row>
    <row r="8" spans="1:4" x14ac:dyDescent="0.25">
      <c r="A8" s="9" t="str">
        <f t="shared" si="0"/>
        <v>Agressivo - PAPEL</v>
      </c>
      <c r="B8" s="19" t="s">
        <v>28</v>
      </c>
      <c r="C8" s="6" t="s">
        <v>25</v>
      </c>
      <c r="D8" s="14">
        <v>0.5</v>
      </c>
    </row>
    <row r="9" spans="1:4" x14ac:dyDescent="0.25">
      <c r="A9" s="9" t="str">
        <f t="shared" si="0"/>
        <v>Agressivo - TIJOLO</v>
      </c>
      <c r="B9" s="19" t="s">
        <v>28</v>
      </c>
      <c r="C9" s="6" t="s">
        <v>26</v>
      </c>
      <c r="D9" s="14">
        <v>0.35</v>
      </c>
    </row>
    <row r="10" spans="1:4" ht="14.4" thickBot="1" x14ac:dyDescent="0.3">
      <c r="A10" s="17" t="str">
        <f t="shared" si="0"/>
        <v>Agressivo - HÍBRIDO</v>
      </c>
      <c r="B10" s="20" t="s">
        <v>28</v>
      </c>
      <c r="C10" s="8" t="s">
        <v>29</v>
      </c>
      <c r="D10" s="15">
        <v>0.15</v>
      </c>
    </row>
    <row r="11" spans="1:4" x14ac:dyDescent="0.25">
      <c r="B11" s="6"/>
      <c r="C11" s="6"/>
      <c r="D11" s="7"/>
    </row>
    <row r="12" spans="1:4" x14ac:dyDescent="0.25">
      <c r="B12" s="6"/>
      <c r="C12" s="6"/>
      <c r="D12" s="7"/>
    </row>
    <row r="13" spans="1:4" x14ac:dyDescent="0.25">
      <c r="B13" s="6"/>
      <c r="C13" s="6"/>
      <c r="D1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Planilha1</vt:lpstr>
      <vt:lpstr>Planilha2</vt:lpstr>
      <vt:lpstr>aporte</vt:lpstr>
      <vt:lpstr>dividendos_mensais</vt:lpstr>
      <vt:lpstr>ganho_acumulado</vt:lpstr>
      <vt:lpstr>patrimonio_acumulado</vt:lpstr>
      <vt:lpstr>patrimonio_investido</vt:lpstr>
      <vt:lpstr>rendimento_carteira</vt:lpstr>
      <vt:lpstr>salario</vt:lpstr>
      <vt:lpstr>sugestao_investimento</vt:lpstr>
      <vt:lpstr>taxa_mensal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Sérgio</dc:creator>
  <cp:lastModifiedBy>Paulo Sérgio</cp:lastModifiedBy>
  <dcterms:created xsi:type="dcterms:W3CDTF">2026-10-16T05:34:48Z</dcterms:created>
  <dcterms:modified xsi:type="dcterms:W3CDTF">2026-10-17T23:29:34Z</dcterms:modified>
</cp:coreProperties>
</file>